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scedu-my.sharepoint.com/personal/achamorr_usc_edu/Documents/Documentos/a LPL/Nova/Heat transfer/Nozzle heat sink/"/>
    </mc:Choice>
  </mc:AlternateContent>
  <xr:revisionPtr revIDLastSave="225" documentId="11_AD4D2F04E46CFB4ACB3E207BDD56FF1E693EDF23" xr6:coauthVersionLast="47" xr6:coauthVersionMax="47" xr10:uidLastSave="{BD86FCB5-4461-448B-8460-B4E5279682F1}"/>
  <bookViews>
    <workbookView xWindow="-98" yWindow="-98" windowWidth="19396" windowHeight="114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F34" i="1"/>
  <c r="I34" i="1" s="1"/>
  <c r="H34" i="1"/>
  <c r="J34" i="1"/>
  <c r="F29" i="1"/>
  <c r="I29" i="1" s="1"/>
  <c r="F30" i="1"/>
  <c r="I30" i="1" s="1"/>
  <c r="F31" i="1"/>
  <c r="I31" i="1" s="1"/>
  <c r="F32" i="1"/>
  <c r="I32" i="1" s="1"/>
  <c r="F33" i="1"/>
  <c r="I33" i="1" s="1"/>
  <c r="F28" i="1"/>
  <c r="I28" i="1" s="1"/>
  <c r="C29" i="1"/>
  <c r="H29" i="1" s="1"/>
  <c r="C30" i="1"/>
  <c r="J30" i="1" s="1"/>
  <c r="C31" i="1"/>
  <c r="J31" i="1" s="1"/>
  <c r="C32" i="1"/>
  <c r="J32" i="1" s="1"/>
  <c r="C33" i="1"/>
  <c r="H33" i="1" s="1"/>
  <c r="C28" i="1"/>
  <c r="J28" i="1" s="1"/>
  <c r="J3" i="1"/>
  <c r="J4" i="1"/>
  <c r="J5" i="1"/>
  <c r="J6" i="1"/>
  <c r="J7" i="1"/>
  <c r="J8" i="1"/>
  <c r="J2" i="1"/>
  <c r="E2" i="1"/>
  <c r="E3" i="1"/>
  <c r="E4" i="1"/>
  <c r="E5" i="1"/>
  <c r="E6" i="1"/>
  <c r="E7" i="1"/>
  <c r="E8" i="1"/>
  <c r="D3" i="1"/>
  <c r="D4" i="1"/>
  <c r="D5" i="1"/>
  <c r="D6" i="1"/>
  <c r="D7" i="1"/>
  <c r="D8" i="1"/>
  <c r="D2" i="1"/>
  <c r="J29" i="1" l="1"/>
  <c r="H32" i="1"/>
  <c r="H31" i="1"/>
  <c r="H30" i="1"/>
  <c r="J33" i="1"/>
  <c r="H28" i="1"/>
</calcChain>
</file>

<file path=xl/sharedStrings.xml><?xml version="1.0" encoding="utf-8"?>
<sst xmlns="http://schemas.openxmlformats.org/spreadsheetml/2006/main" count="14" uniqueCount="13">
  <si>
    <t>Ae/At</t>
  </si>
  <si>
    <t>GAMMAs</t>
  </si>
  <si>
    <t>log(Ae/At)</t>
  </si>
  <si>
    <t>log(gammas)</t>
  </si>
  <si>
    <t>gamma comprobacion</t>
  </si>
  <si>
    <t>mu</t>
  </si>
  <si>
    <t>mu_ref</t>
  </si>
  <si>
    <t>mu/mu_ref</t>
  </si>
  <si>
    <t>T</t>
  </si>
  <si>
    <t>T_ref</t>
  </si>
  <si>
    <t>T/T_ref</t>
  </si>
  <si>
    <t>log(mu/mu_ref)</t>
  </si>
  <si>
    <t>log(T/T_ref)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</si>
</sst>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Gamma adjustment in logarithmic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>
                  <a:alpha val="6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022090988626424E-2"/>
                  <c:y val="0.19402777777777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Hoja1!$D$2:$D$8</c:f>
              <c:numCache>
                <c:formatCode>General</c:formatCode>
                <c:ptCount val="7"/>
                <c:pt idx="0">
                  <c:v>0</c:v>
                </c:pt>
                <c:pt idx="1">
                  <c:v>0.15836249209524964</c:v>
                </c:pt>
                <c:pt idx="2">
                  <c:v>0.35218251811136247</c:v>
                </c:pt>
                <c:pt idx="3">
                  <c:v>0.47712125471966244</c:v>
                </c:pt>
                <c:pt idx="4">
                  <c:v>0.79588001734407521</c:v>
                </c:pt>
                <c:pt idx="5">
                  <c:v>0.95424250943932487</c:v>
                </c:pt>
                <c:pt idx="6">
                  <c:v>1.148077976762506</c:v>
                </c:pt>
              </c:numCache>
            </c:numRef>
          </c:xVal>
          <c:yVal>
            <c:numRef>
              <c:f>Hoja1!$E$2:$E$8</c:f>
              <c:numCache>
                <c:formatCode>General</c:formatCode>
                <c:ptCount val="7"/>
                <c:pt idx="0">
                  <c:v>5.8805486675906807E-2</c:v>
                </c:pt>
                <c:pt idx="1">
                  <c:v>6.3258279950455618E-2</c:v>
                </c:pt>
                <c:pt idx="2">
                  <c:v>6.7033639842262169E-2</c:v>
                </c:pt>
                <c:pt idx="3">
                  <c:v>6.9186925151909592E-2</c:v>
                </c:pt>
                <c:pt idx="4">
                  <c:v>7.247048230389308E-2</c:v>
                </c:pt>
                <c:pt idx="5">
                  <c:v>7.5400955513897791E-2</c:v>
                </c:pt>
                <c:pt idx="6">
                  <c:v>7.8202982503685708E-2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7C-4CB8-B39C-ABBF973D3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732192"/>
        <c:axId val="706729792"/>
      </c:scatterChart>
      <c:valAx>
        <c:axId val="70673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log(GAMMAs)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6729792"/>
        <c:crosses val="autoZero"/>
        <c:crossBetween val="midCat"/>
      </c:valAx>
      <c:valAx>
        <c:axId val="7067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log(A/At)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673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 adjustment in logarithmic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8025963789406768"/>
                  <c:y val="0.286620370370370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Hoja1!$I$28:$I$34</c:f>
              <c:numCache>
                <c:formatCode>General</c:formatCode>
                <c:ptCount val="7"/>
                <c:pt idx="0">
                  <c:v>0</c:v>
                </c:pt>
                <c:pt idx="1">
                  <c:v>-0.10664840323187247</c:v>
                </c:pt>
                <c:pt idx="2">
                  <c:v>-0.15452657475697237</c:v>
                </c:pt>
                <c:pt idx="3">
                  <c:v>-0.18921745955517022</c:v>
                </c:pt>
                <c:pt idx="4">
                  <c:v>-0.21672539819881642</c:v>
                </c:pt>
                <c:pt idx="5">
                  <c:v>-0.23962244017005985</c:v>
                </c:pt>
                <c:pt idx="6">
                  <c:v>-0.25944355769968575</c:v>
                </c:pt>
              </c:numCache>
            </c:numRef>
          </c:xVal>
          <c:yVal>
            <c:numRef>
              <c:f>Hoja1!$J$28:$J$34</c:f>
              <c:numCache>
                <c:formatCode>General</c:formatCode>
                <c:ptCount val="7"/>
                <c:pt idx="0">
                  <c:v>0</c:v>
                </c:pt>
                <c:pt idx="1">
                  <c:v>-7.6372948054537371E-2</c:v>
                </c:pt>
                <c:pt idx="2">
                  <c:v>-0.11036936011779432</c:v>
                </c:pt>
                <c:pt idx="3">
                  <c:v>-0.13492622653600916</c:v>
                </c:pt>
                <c:pt idx="4">
                  <c:v>-0.15437838897233239</c:v>
                </c:pt>
                <c:pt idx="5">
                  <c:v>-0.17057228459438484</c:v>
                </c:pt>
                <c:pt idx="6">
                  <c:v>-0.18460010721063108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8E-4D3D-B9B6-67EF15AC3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259567"/>
        <c:axId val="1011260047"/>
      </c:scatterChart>
      <c:valAx>
        <c:axId val="101125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log(T/Tref)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1260047"/>
        <c:crosses val="autoZero"/>
        <c:crossBetween val="midCat"/>
      </c:valAx>
      <c:valAx>
        <c:axId val="101126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log(mu/mu_ref)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125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607217</xdr:colOff>
      <xdr:row>8</xdr:row>
      <xdr:rowOff>90488</xdr:rowOff>
    </xdr:from>
    <xdr:to>
      <xdr:col>6</xdr:col>
      <xdr:colOff>131728</xdr:colOff>
      <xdr:row>24</xdr:row>
      <xdr:rowOff>91197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BE602D-153E-6B9F-A616-82066E166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1149079</xdr:colOff>
      <xdr:row>34</xdr:row>
      <xdr:rowOff>74882</xdr:rowOff>
    </xdr:from>
    <xdr:to>
      <xdr:col>14</xdr:col>
      <xdr:colOff>172261</xdr:colOff>
      <xdr:row>49</xdr:row>
      <xdr:rowOff>82178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6B1A0C1-3C26-D767-6F8E-2158EF051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19" zoomScale="94" workbookViewId="0">
      <selection activeCell="E41" sqref="E41"/>
    </sheetView>
  </sheetViews>
  <sheetFormatPr baseColWidth="10" defaultColWidth="9.06640625" defaultRowHeight="14.25" x14ac:dyDescent="0.45"/>
  <cols>
    <col min="3" max="3" width="17.9296875" customWidth="1"/>
    <col min="4" max="4" width="10.73046875" customWidth="1"/>
    <col min="5" max="5" width="12.53125" customWidth="1"/>
    <col min="6" max="6" width="17.86328125" customWidth="1"/>
    <col min="8" max="8" width="15.9296875" customWidth="1"/>
    <col min="9" max="9" width="11.33203125" customWidth="1"/>
    <col min="10" max="10" width="18.9296875" customWidth="1"/>
  </cols>
  <sheetData>
    <row r="1" spans="1:10" x14ac:dyDescent="0.45">
      <c r="A1" t="s">
        <v>0</v>
      </c>
      <c r="B1" t="s">
        <v>1</v>
      </c>
      <c r="D1" t="s">
        <v>2</v>
      </c>
      <c r="E1" t="s">
        <v>3</v>
      </c>
      <c r="J1" t="s">
        <v>4</v>
      </c>
    </row>
    <row r="2" spans="1:10" x14ac:dyDescent="0.45">
      <c r="A2">
        <v>1</v>
      </c>
      <c r="B2">
        <v>1.145</v>
      </c>
      <c r="D2">
        <f>LOG10(A2)</f>
        <v>0</v>
      </c>
      <c r="E2">
        <f>LOG10(B2)</f>
        <v>5.8805486675906807E-2</v>
      </c>
      <c r="J2">
        <f>1.1492*A2^(0.0159)</f>
        <v>1.1492</v>
      </c>
    </row>
    <row r="3" spans="1:10" x14ac:dyDescent="0.45">
      <c r="A3">
        <v>1.44</v>
      </c>
      <c r="B3">
        <v>1.1568000000000001</v>
      </c>
      <c r="D3">
        <f t="shared" ref="D3:D8" si="0">LOG10(A3)</f>
        <v>0.15836249209524964</v>
      </c>
      <c r="E3">
        <f t="shared" ref="E3:E8" si="1">LOG10(B3)</f>
        <v>6.3258279950455618E-2</v>
      </c>
      <c r="J3">
        <f t="shared" ref="J3:J8" si="2">1.1492*A3^(0.0159)</f>
        <v>1.1558822135070861</v>
      </c>
    </row>
    <row r="4" spans="1:10" x14ac:dyDescent="0.45">
      <c r="A4">
        <v>2.25</v>
      </c>
      <c r="B4">
        <v>1.1669</v>
      </c>
      <c r="D4">
        <f t="shared" si="0"/>
        <v>0.35218251811136247</v>
      </c>
      <c r="E4">
        <f t="shared" si="1"/>
        <v>6.7033639842262169E-2</v>
      </c>
      <c r="J4">
        <f t="shared" si="2"/>
        <v>1.1641134830204494</v>
      </c>
    </row>
    <row r="5" spans="1:10" x14ac:dyDescent="0.45">
      <c r="A5">
        <v>3</v>
      </c>
      <c r="B5">
        <v>1.1727000000000001</v>
      </c>
      <c r="D5">
        <f t="shared" si="0"/>
        <v>0.47712125471966244</v>
      </c>
      <c r="E5">
        <f t="shared" si="1"/>
        <v>6.9186925151909592E-2</v>
      </c>
      <c r="J5">
        <f t="shared" si="2"/>
        <v>1.1694505036799483</v>
      </c>
    </row>
    <row r="6" spans="1:10" x14ac:dyDescent="0.45">
      <c r="A6">
        <v>6.25</v>
      </c>
      <c r="B6">
        <v>1.1816</v>
      </c>
      <c r="D6">
        <f t="shared" si="0"/>
        <v>0.79588001734407521</v>
      </c>
      <c r="E6">
        <f t="shared" si="1"/>
        <v>7.247048230389308E-2</v>
      </c>
      <c r="J6">
        <f t="shared" si="2"/>
        <v>1.1831780648374</v>
      </c>
    </row>
    <row r="7" spans="1:10" x14ac:dyDescent="0.45">
      <c r="A7">
        <v>9</v>
      </c>
      <c r="B7">
        <v>1.1896</v>
      </c>
      <c r="D7">
        <f t="shared" si="0"/>
        <v>0.95424250943932487</v>
      </c>
      <c r="E7">
        <f t="shared" si="1"/>
        <v>7.5400955513897791E-2</v>
      </c>
      <c r="J7">
        <f t="shared" si="2"/>
        <v>1.1900578494233247</v>
      </c>
    </row>
    <row r="8" spans="1:10" x14ac:dyDescent="0.45">
      <c r="A8">
        <v>14.063000000000001</v>
      </c>
      <c r="B8">
        <v>1.1973</v>
      </c>
      <c r="D8">
        <f t="shared" si="0"/>
        <v>1.148077976762506</v>
      </c>
      <c r="E8">
        <f t="shared" si="1"/>
        <v>7.8202982503685708E-2</v>
      </c>
      <c r="J8">
        <f t="shared" si="2"/>
        <v>1.1985331680660503</v>
      </c>
    </row>
    <row r="27" spans="1:10" x14ac:dyDescent="0.45">
      <c r="A27" t="s">
        <v>5</v>
      </c>
      <c r="B27" t="s">
        <v>6</v>
      </c>
      <c r="C27" t="s">
        <v>7</v>
      </c>
      <c r="D27" t="s">
        <v>8</v>
      </c>
      <c r="E27" t="s">
        <v>9</v>
      </c>
      <c r="F27" t="s">
        <v>10</v>
      </c>
      <c r="H27" t="s">
        <v>11</v>
      </c>
      <c r="I27" t="s">
        <v>12</v>
      </c>
      <c r="J27" t="s">
        <v>11</v>
      </c>
    </row>
    <row r="28" spans="1:10" x14ac:dyDescent="0.45">
      <c r="A28">
        <v>0.81359000000000004</v>
      </c>
      <c r="B28">
        <v>0.81359000000000004</v>
      </c>
      <c r="C28">
        <f>A28/B28</f>
        <v>1</v>
      </c>
      <c r="D28">
        <v>2603.62</v>
      </c>
      <c r="E28">
        <v>2603.62</v>
      </c>
      <c r="F28">
        <f>D28/E28</f>
        <v>1</v>
      </c>
      <c r="H28">
        <f>LOG10(C28)</f>
        <v>0</v>
      </c>
      <c r="I28">
        <f>LOG10(F28)</f>
        <v>0</v>
      </c>
      <c r="J28">
        <f>LOG10(C28)</f>
        <v>0</v>
      </c>
    </row>
    <row r="29" spans="1:10" x14ac:dyDescent="0.45">
      <c r="A29">
        <v>0.68239000000000005</v>
      </c>
      <c r="B29">
        <v>0.81359000000000004</v>
      </c>
      <c r="C29">
        <f t="shared" ref="C29:C34" si="3">A29/B29</f>
        <v>0.83873941420125619</v>
      </c>
      <c r="D29">
        <v>2036.71</v>
      </c>
      <c r="E29">
        <v>2603.62</v>
      </c>
      <c r="F29">
        <f t="shared" ref="F29:F34" si="4">D29/E29</f>
        <v>0.78226085219809349</v>
      </c>
      <c r="H29">
        <f t="shared" ref="H29:H34" si="5">LOG10(C29)</f>
        <v>-7.6372948054537371E-2</v>
      </c>
      <c r="I29">
        <f t="shared" ref="I29:I34" si="6">LOG10(F29)</f>
        <v>-0.10664840323187247</v>
      </c>
      <c r="J29">
        <f t="shared" ref="J29:J34" si="7">LOG10(C29)</f>
        <v>-7.6372948054537371E-2</v>
      </c>
    </row>
    <row r="30" spans="1:10" x14ac:dyDescent="0.45">
      <c r="A30">
        <v>0.63100999999999996</v>
      </c>
      <c r="B30">
        <v>0.81359000000000004</v>
      </c>
      <c r="C30">
        <f t="shared" si="3"/>
        <v>0.77558721223220528</v>
      </c>
      <c r="D30">
        <v>1824.11</v>
      </c>
      <c r="E30">
        <v>2603.62</v>
      </c>
      <c r="F30">
        <f t="shared" si="4"/>
        <v>0.70060531106689916</v>
      </c>
      <c r="H30">
        <f t="shared" si="5"/>
        <v>-0.11036936011779432</v>
      </c>
      <c r="I30">
        <f t="shared" si="6"/>
        <v>-0.15452657475697237</v>
      </c>
      <c r="J30">
        <f t="shared" si="7"/>
        <v>-0.11036936011779432</v>
      </c>
    </row>
    <row r="31" spans="1:10" x14ac:dyDescent="0.45">
      <c r="A31">
        <v>0.59631999999999996</v>
      </c>
      <c r="B31">
        <v>0.81359000000000004</v>
      </c>
      <c r="C31">
        <f t="shared" si="3"/>
        <v>0.73294902838038811</v>
      </c>
      <c r="D31">
        <v>1684.07</v>
      </c>
      <c r="E31">
        <v>2603.62</v>
      </c>
      <c r="F31">
        <f t="shared" si="4"/>
        <v>0.6468186601731436</v>
      </c>
      <c r="H31">
        <f t="shared" si="5"/>
        <v>-0.13492622653600916</v>
      </c>
      <c r="I31">
        <f t="shared" si="6"/>
        <v>-0.18921745955517022</v>
      </c>
      <c r="J31">
        <f t="shared" si="7"/>
        <v>-0.13492622653600916</v>
      </c>
    </row>
    <row r="32" spans="1:10" x14ac:dyDescent="0.45">
      <c r="A32">
        <v>0.57020000000000004</v>
      </c>
      <c r="B32">
        <v>0.81359000000000004</v>
      </c>
      <c r="C32">
        <f t="shared" si="3"/>
        <v>0.70084440565886996</v>
      </c>
      <c r="D32">
        <v>1580.71</v>
      </c>
      <c r="E32">
        <v>2603.62</v>
      </c>
      <c r="F32">
        <f t="shared" si="4"/>
        <v>0.6071200866485893</v>
      </c>
      <c r="H32">
        <f t="shared" si="5"/>
        <v>-0.15437838897233239</v>
      </c>
      <c r="I32">
        <f t="shared" si="6"/>
        <v>-0.21672539819881642</v>
      </c>
      <c r="J32">
        <f t="shared" si="7"/>
        <v>-0.15437838897233239</v>
      </c>
    </row>
    <row r="33" spans="1:10" x14ac:dyDescent="0.45">
      <c r="A33">
        <v>0.54932999999999998</v>
      </c>
      <c r="B33">
        <v>0.81359000000000004</v>
      </c>
      <c r="C33">
        <f t="shared" si="3"/>
        <v>0.67519266460993865</v>
      </c>
      <c r="D33">
        <v>1499.53</v>
      </c>
      <c r="E33">
        <v>2603.62</v>
      </c>
      <c r="F33">
        <f t="shared" si="4"/>
        <v>0.57594042141326307</v>
      </c>
      <c r="H33">
        <f t="shared" si="5"/>
        <v>-0.17057228459438484</v>
      </c>
      <c r="I33">
        <f t="shared" si="6"/>
        <v>-0.23962244017005985</v>
      </c>
      <c r="J33">
        <f t="shared" si="7"/>
        <v>-0.17057228459438484</v>
      </c>
    </row>
    <row r="34" spans="1:10" x14ac:dyDescent="0.45">
      <c r="A34">
        <v>0.53186999999999995</v>
      </c>
      <c r="B34">
        <v>0.81359000000000004</v>
      </c>
      <c r="C34">
        <f t="shared" si="3"/>
        <v>0.65373222384739238</v>
      </c>
      <c r="D34">
        <v>1432.63</v>
      </c>
      <c r="E34">
        <v>2603.62</v>
      </c>
      <c r="F34">
        <f t="shared" si="4"/>
        <v>0.55024542752014505</v>
      </c>
      <c r="H34">
        <f t="shared" si="5"/>
        <v>-0.18460010721063108</v>
      </c>
      <c r="I34">
        <f t="shared" si="6"/>
        <v>-0.25944355769968575</v>
      </c>
      <c r="J34">
        <f t="shared" si="7"/>
        <v>-0.18460010721063108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Chamorro Domenech</dc:creator>
  <cp:lastModifiedBy>Andres Chamorro Domenech</cp:lastModifiedBy>
  <dcterms:created xsi:type="dcterms:W3CDTF">2015-06-05T18:19:34Z</dcterms:created>
  <dcterms:modified xsi:type="dcterms:W3CDTF">2025-10-07T10:12:24Z</dcterms:modified>
</cp:coreProperties>
</file>